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 Inventory" sheetId="1" state="visible" r:id="rId1"/>
    <sheet xmlns:r="http://schemas.openxmlformats.org/officeDocument/2006/relationships" name="Mac Mini KB Extra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F4B084"/>
      </patternFill>
    </fill>
    <fill>
      <patternFill patternType="solid">
        <fgColor rgb="00FF7C80"/>
      </patternFill>
    </fill>
    <fill>
      <patternFill patternType="solid">
        <fgColor rgb="00C6E0B4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3" fillId="2" borderId="0" pivotButton="0" quotePrefix="0" xfId="0"/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10" customWidth="1" min="7" max="7"/>
    <col width="10" customWidth="1" min="8" max="8"/>
    <col width="24" customWidth="1" min="9" max="9"/>
    <col width="60" customWidth="1" min="10" max="10"/>
    <col hidden="1" width="13" customWidth="1" min="11" max="11"/>
  </cols>
  <sheetData>
    <row r="1">
      <c r="A1" s="1" t="inlineStr">
        <is>
          <t>ADR Corpus Inventory — ~/openclaw vs. "Mac Mini" Claude.ai Project</t>
        </is>
      </c>
    </row>
    <row r="2">
      <c r="A2" s="2" t="inlineStr">
        <is>
          <t>Compiled 2026-08-23. Source of truth target: ~/openclaw (disk/Git). "AI Build" project excluded — confirmed unrelated (see Reconciliation Plan).</t>
        </is>
      </c>
    </row>
    <row r="4" ht="30" customHeight="1">
      <c r="A4" s="3" t="inlineStr">
        <is>
          <t>ADR #</t>
        </is>
      </c>
      <c r="B4" s="3" t="inlineStr">
        <is>
          <t>Title (as known)</t>
        </is>
      </c>
      <c r="C4" s="3" t="inlineStr">
        <is>
          <t>Status</t>
        </is>
      </c>
      <c r="D4" s="3" t="inlineStr">
        <is>
          <t>Local .docx
present</t>
        </is>
      </c>
      <c r="E4" s="3" t="inlineStr">
        <is>
          <t>Local file
format OK</t>
        </is>
      </c>
      <c r="F4" s="3" t="inlineStr">
        <is>
          <t>Local file
date</t>
        </is>
      </c>
      <c r="G4" s="3" t="inlineStr">
        <is>
          <t>Code/changelog
refs (live)</t>
        </is>
      </c>
      <c r="H4" s="3" t="inlineStr">
        <is>
          <t>Mac Mini KB
present</t>
        </is>
      </c>
      <c r="I4" s="3" t="inlineStr">
        <is>
          <t>Mac Mini KB filename
(if differs)</t>
        </is>
      </c>
      <c r="J4" s="3" t="inlineStr">
        <is>
          <t>Notes / Conflicts</t>
        </is>
      </c>
      <c r="K4" s="4" t="inlineStr">
        <is>
          <t>Category</t>
        </is>
      </c>
    </row>
    <row r="5">
      <c r="A5" s="5" t="inlineStr">
        <is>
          <t>ADR-001</t>
        </is>
      </c>
      <c r="B5" s="6" t="inlineStr">
        <is>
          <t>(none recovered)</t>
        </is>
      </c>
      <c r="C5" s="7" t="inlineStr">
        <is>
          <t>Unknown</t>
        </is>
      </c>
      <c r="D5" s="7" t="inlineStr">
        <is>
          <t>N</t>
        </is>
      </c>
      <c r="E5" s="7" t="inlineStr">
        <is>
          <t>N/A</t>
        </is>
      </c>
      <c r="F5" s="6" t="inlineStr">
        <is>
          <t>—</t>
        </is>
      </c>
      <c r="G5" s="6" t="n">
        <v>0</v>
      </c>
      <c r="H5" s="7" t="inlineStr">
        <is>
          <t>N</t>
        </is>
      </c>
      <c r="I5" s="6" t="inlineStr">
        <is>
          <t>—</t>
        </is>
      </c>
      <c r="J5" s="6" t="inlineStr">
        <is>
          <t>Zero fragments found anywhere, including a direct in-project text search. Existence itself is unconfirmed.</t>
        </is>
      </c>
      <c r="K5" s="8" t="inlineStr">
        <is>
          <t>unknown</t>
        </is>
      </c>
    </row>
    <row r="6">
      <c r="A6" s="9" t="inlineStr">
        <is>
          <t>ADR-002</t>
        </is>
      </c>
      <c r="B6" s="10" t="inlineStr">
        <is>
          <t>Hardware (title only)</t>
        </is>
      </c>
      <c r="C6" s="11" t="inlineStr">
        <is>
          <t>Unknown</t>
        </is>
      </c>
      <c r="D6" s="11" t="inlineStr">
        <is>
          <t>Y (STUB)</t>
        </is>
      </c>
      <c r="E6" s="11" t="inlineStr">
        <is>
          <t>Y</t>
        </is>
      </c>
      <c r="F6" s="11" t="inlineStr">
        <is>
          <t>2026-08-23</t>
        </is>
      </c>
      <c r="G6" s="10" t="n">
        <v>0</v>
      </c>
      <c r="H6" s="11" t="inlineStr">
        <is>
          <t>N</t>
        </is>
      </c>
      <c r="I6" s="10" t="inlineStr">
        <is>
          <t>—</t>
        </is>
      </c>
      <c r="J6" s="10" t="inlineStr">
        <is>
          <t>Title recovered only via cross-reference inside ADR-031/036's own "ADR References" fields — not a document. STUB BUILT 2026-08-23 per operator direction (ADR_002.docx) — clearly marked as a stub, not an original, with explicit "What Is Known" / "What Is NOT Known" / "Sources" sections citing exact file and line for every claim.</t>
        </is>
      </c>
      <c r="K6" s="8" t="inlineStr">
        <is>
          <t>gap</t>
        </is>
      </c>
    </row>
    <row r="7">
      <c r="A7" s="9" t="inlineStr">
        <is>
          <t>ADR-003</t>
        </is>
      </c>
      <c r="B7" s="10" t="inlineStr">
        <is>
          <t>Model Selection (title only)</t>
        </is>
      </c>
      <c r="C7" s="11" t="inlineStr">
        <is>
          <t>Unknown</t>
        </is>
      </c>
      <c r="D7" s="11" t="inlineStr">
        <is>
          <t>Y (STUB)</t>
        </is>
      </c>
      <c r="E7" s="11" t="inlineStr">
        <is>
          <t>Y</t>
        </is>
      </c>
      <c r="F7" s="11" t="inlineStr">
        <is>
          <t>2026-08-23</t>
        </is>
      </c>
      <c r="G7" s="10" t="n">
        <v>1</v>
      </c>
      <c r="H7" s="11" t="inlineStr">
        <is>
          <t>N</t>
        </is>
      </c>
      <c r="I7" s="10" t="inlineStr">
        <is>
          <t>—</t>
        </is>
      </c>
      <c r="J7" s="10" t="inlineStr">
        <is>
          <t>Actively cited in app/llm.py. Title-only fragment; no document found anywhere. STUB BUILT 2026-08-23 per operator direction (ADR_003.docx) — clearly marked as a stub, not an original, with explicit "What Is Known" / "What Is NOT Known" / "Sources" sections citing exact file and line for every claim.</t>
        </is>
      </c>
      <c r="K7" s="8" t="inlineStr">
        <is>
          <t>gap</t>
        </is>
      </c>
    </row>
    <row r="8">
      <c r="A8" s="5" t="inlineStr">
        <is>
          <t>ADR-004</t>
        </is>
      </c>
      <c r="B8" s="6" t="inlineStr">
        <is>
          <t>(none recovered)</t>
        </is>
      </c>
      <c r="C8" s="7" t="inlineStr">
        <is>
          <t>Unknown</t>
        </is>
      </c>
      <c r="D8" s="7" t="inlineStr">
        <is>
          <t>N</t>
        </is>
      </c>
      <c r="E8" s="7" t="inlineStr">
        <is>
          <t>N/A</t>
        </is>
      </c>
      <c r="F8" s="6" t="inlineStr">
        <is>
          <t>—</t>
        </is>
      </c>
      <c r="G8" s="6" t="n">
        <v>0</v>
      </c>
      <c r="H8" s="7" t="inlineStr">
        <is>
          <t>N</t>
        </is>
      </c>
      <c r="I8" s="6" t="inlineStr">
        <is>
          <t>—</t>
        </is>
      </c>
      <c r="J8" s="6" t="inlineStr">
        <is>
          <t>No document, no code reference, no title fragment. Likely numbering gap.</t>
        </is>
      </c>
      <c r="K8" s="8" t="inlineStr">
        <is>
          <t>unknown</t>
        </is>
      </c>
    </row>
    <row r="9">
      <c r="A9" s="9" t="inlineStr">
        <is>
          <t>ADR-005</t>
        </is>
      </c>
      <c r="B9" s="10" t="inlineStr">
        <is>
          <t>Model Strings (title only)</t>
        </is>
      </c>
      <c r="C9" s="11" t="inlineStr">
        <is>
          <t>Unknown</t>
        </is>
      </c>
      <c r="D9" s="11" t="inlineStr">
        <is>
          <t>Y (STUB)</t>
        </is>
      </c>
      <c r="E9" s="11" t="inlineStr">
        <is>
          <t>Y</t>
        </is>
      </c>
      <c r="F9" s="11" t="inlineStr">
        <is>
          <t>2026-08-23</t>
        </is>
      </c>
      <c r="G9" s="10" t="n">
        <v>1</v>
      </c>
      <c r="H9" s="11" t="inlineStr">
        <is>
          <t>N</t>
        </is>
      </c>
      <c r="I9" s="10" t="inlineStr">
        <is>
          <t>—</t>
        </is>
      </c>
      <c r="J9" s="10" t="inlineStr">
        <is>
          <t>Cited in changelog.md. Title-only fragment. STUB BUILT 2026-08-23 per operator direction (ADR_005.docx) — clearly marked as a stub, not an original, with explicit "What Is Known" / "What Is NOT Known" / "Sources" sections citing exact file and line for every claim.</t>
        </is>
      </c>
      <c r="K9" s="8" t="inlineStr">
        <is>
          <t>gap</t>
        </is>
      </c>
    </row>
    <row r="10">
      <c r="A10" s="5" t="inlineStr">
        <is>
          <t>ADR-006</t>
        </is>
      </c>
      <c r="B10" s="6" t="inlineStr">
        <is>
          <t>(none recovered)</t>
        </is>
      </c>
      <c r="C10" s="7" t="inlineStr">
        <is>
          <t>Unknown</t>
        </is>
      </c>
      <c r="D10" s="7" t="inlineStr">
        <is>
          <t>N</t>
        </is>
      </c>
      <c r="E10" s="7" t="inlineStr">
        <is>
          <t>N/A</t>
        </is>
      </c>
      <c r="F10" s="6" t="inlineStr">
        <is>
          <t>—</t>
        </is>
      </c>
      <c r="G10" s="6" t="n">
        <v>0</v>
      </c>
      <c r="H10" s="7" t="inlineStr">
        <is>
          <t>N</t>
        </is>
      </c>
      <c r="I10" s="6" t="inlineStr">
        <is>
          <t>—</t>
        </is>
      </c>
      <c r="J10" s="6" t="inlineStr">
        <is>
          <t>No evidence found anywhere. Likely numbering gap.</t>
        </is>
      </c>
      <c r="K10" s="8" t="inlineStr">
        <is>
          <t>unknown</t>
        </is>
      </c>
    </row>
    <row r="11">
      <c r="A11" s="5" t="inlineStr">
        <is>
          <t>ADR-007</t>
        </is>
      </c>
      <c r="B11" s="6" t="inlineStr">
        <is>
          <t>(none recovered)</t>
        </is>
      </c>
      <c r="C11" s="7" t="inlineStr">
        <is>
          <t>Unknown</t>
        </is>
      </c>
      <c r="D11" s="7" t="inlineStr">
        <is>
          <t>N</t>
        </is>
      </c>
      <c r="E11" s="7" t="inlineStr">
        <is>
          <t>N/A</t>
        </is>
      </c>
      <c r="F11" s="6" t="inlineStr">
        <is>
          <t>—</t>
        </is>
      </c>
      <c r="G11" s="6" t="n">
        <v>0</v>
      </c>
      <c r="H11" s="7" t="inlineStr">
        <is>
          <t>N</t>
        </is>
      </c>
      <c r="I11" s="6" t="inlineStr">
        <is>
          <t>—</t>
        </is>
      </c>
      <c r="J11" s="6" t="inlineStr">
        <is>
          <t>No evidence found anywhere. Likely numbering gap.</t>
        </is>
      </c>
      <c r="K11" s="8" t="inlineStr">
        <is>
          <t>unknown</t>
        </is>
      </c>
    </row>
    <row r="12">
      <c r="A12" s="5" t="inlineStr">
        <is>
          <t>ADR-008</t>
        </is>
      </c>
      <c r="B12" s="6" t="inlineStr">
        <is>
          <t>(none recovered)</t>
        </is>
      </c>
      <c r="C12" s="7" t="inlineStr">
        <is>
          <t>Unknown</t>
        </is>
      </c>
      <c r="D12" s="7" t="inlineStr">
        <is>
          <t>N</t>
        </is>
      </c>
      <c r="E12" s="7" t="inlineStr">
        <is>
          <t>N/A</t>
        </is>
      </c>
      <c r="F12" s="6" t="inlineStr">
        <is>
          <t>—</t>
        </is>
      </c>
      <c r="G12" s="6" t="n">
        <v>0</v>
      </c>
      <c r="H12" s="7" t="inlineStr">
        <is>
          <t>N</t>
        </is>
      </c>
      <c r="I12" s="6" t="inlineStr">
        <is>
          <t>—</t>
        </is>
      </c>
      <c r="J12" s="6" t="inlineStr">
        <is>
          <t>No evidence found anywhere. Likely numbering gap.</t>
        </is>
      </c>
      <c r="K12" s="8" t="inlineStr">
        <is>
          <t>unknown</t>
        </is>
      </c>
    </row>
    <row r="13">
      <c r="A13" s="5" t="inlineStr">
        <is>
          <t>ADR-009</t>
        </is>
      </c>
      <c r="B13" s="6" t="inlineStr">
        <is>
          <t>(none recovered)</t>
        </is>
      </c>
      <c r="C13" s="7" t="inlineStr">
        <is>
          <t>Unknown</t>
        </is>
      </c>
      <c r="D13" s="7" t="inlineStr">
        <is>
          <t>N</t>
        </is>
      </c>
      <c r="E13" s="7" t="inlineStr">
        <is>
          <t>N/A</t>
        </is>
      </c>
      <c r="F13" s="6" t="inlineStr">
        <is>
          <t>—</t>
        </is>
      </c>
      <c r="G13" s="6" t="n">
        <v>0</v>
      </c>
      <c r="H13" s="7" t="inlineStr">
        <is>
          <t>N</t>
        </is>
      </c>
      <c r="I13" s="6" t="inlineStr">
        <is>
          <t>—</t>
        </is>
      </c>
      <c r="J13" s="6" t="inlineStr">
        <is>
          <t>No evidence found anywhere. Likely numbering gap.</t>
        </is>
      </c>
      <c r="K13" s="8" t="inlineStr">
        <is>
          <t>unknown</t>
        </is>
      </c>
    </row>
    <row r="14">
      <c r="A14" s="5" t="inlineStr">
        <is>
          <t>ADR-010</t>
        </is>
      </c>
      <c r="B14" s="6" t="inlineStr">
        <is>
          <t>(none recovered)</t>
        </is>
      </c>
      <c r="C14" s="7" t="inlineStr">
        <is>
          <t>Unknown</t>
        </is>
      </c>
      <c r="D14" s="7" t="inlineStr">
        <is>
          <t>N</t>
        </is>
      </c>
      <c r="E14" s="7" t="inlineStr">
        <is>
          <t>N/A</t>
        </is>
      </c>
      <c r="F14" s="6" t="inlineStr">
        <is>
          <t>—</t>
        </is>
      </c>
      <c r="G14" s="6" t="n">
        <v>0</v>
      </c>
      <c r="H14" s="7" t="inlineStr">
        <is>
          <t>N</t>
        </is>
      </c>
      <c r="I14" s="6" t="inlineStr">
        <is>
          <t>—</t>
        </is>
      </c>
      <c r="J14" s="6" t="inlineStr">
        <is>
          <t>No evidence found anywhere. Likely numbering gap.</t>
        </is>
      </c>
      <c r="K14" s="8" t="inlineStr">
        <is>
          <t>unknown</t>
        </is>
      </c>
    </row>
    <row r="15">
      <c r="A15" s="5" t="inlineStr">
        <is>
          <t>ADR-011</t>
        </is>
      </c>
      <c r="B15" s="6" t="inlineStr">
        <is>
          <t>(none recovered)</t>
        </is>
      </c>
      <c r="C15" s="7" t="inlineStr">
        <is>
          <t>Unknown</t>
        </is>
      </c>
      <c r="D15" s="7" t="inlineStr">
        <is>
          <t>N</t>
        </is>
      </c>
      <c r="E15" s="7" t="inlineStr">
        <is>
          <t>N/A</t>
        </is>
      </c>
      <c r="F15" s="6" t="inlineStr">
        <is>
          <t>—</t>
        </is>
      </c>
      <c r="G15" s="6" t="n">
        <v>0</v>
      </c>
      <c r="H15" s="7" t="inlineStr">
        <is>
          <t>N</t>
        </is>
      </c>
      <c r="I15" s="6" t="inlineStr">
        <is>
          <t>—</t>
        </is>
      </c>
      <c r="J15" s="6" t="inlineStr">
        <is>
          <t>NEW (this session): referenced only inside old_skeleton/ (untracked dead code, not in Git, already flagged for "Bucket 4" cleanup in CURRENT_STATE.md). Excluded from live-governance count as not part of active code.</t>
        </is>
      </c>
      <c r="K15" s="8" t="inlineStr">
        <is>
          <t>unknown</t>
        </is>
      </c>
    </row>
    <row r="16">
      <c r="A16" s="5" t="inlineStr">
        <is>
          <t>ADR-012</t>
        </is>
      </c>
      <c r="B16" s="6" t="inlineStr">
        <is>
          <t>(none recovered)</t>
        </is>
      </c>
      <c r="C16" s="7" t="inlineStr">
        <is>
          <t>Unknown</t>
        </is>
      </c>
      <c r="D16" s="7" t="inlineStr">
        <is>
          <t>N</t>
        </is>
      </c>
      <c r="E16" s="7" t="inlineStr">
        <is>
          <t>N/A</t>
        </is>
      </c>
      <c r="F16" s="6" t="inlineStr">
        <is>
          <t>—</t>
        </is>
      </c>
      <c r="G16" s="6" t="n">
        <v>0</v>
      </c>
      <c r="H16" s="7" t="inlineStr">
        <is>
          <t>N</t>
        </is>
      </c>
      <c r="I16" s="6" t="inlineStr">
        <is>
          <t>—</t>
        </is>
      </c>
      <c r="J16" s="6" t="inlineStr">
        <is>
          <t>NEW (this session): same old_skeleton/ situation as ADR-011 — dead code reference only, excluded from live count.</t>
        </is>
      </c>
      <c r="K16" s="8" t="inlineStr">
        <is>
          <t>unknown</t>
        </is>
      </c>
    </row>
    <row r="17">
      <c r="A17" s="5" t="inlineStr">
        <is>
          <t>ADR-013</t>
        </is>
      </c>
      <c r="B17" s="6" t="inlineStr">
        <is>
          <t>(none recovered)</t>
        </is>
      </c>
      <c r="C17" s="7" t="inlineStr">
        <is>
          <t>Unknown</t>
        </is>
      </c>
      <c r="D17" s="7" t="inlineStr">
        <is>
          <t>N</t>
        </is>
      </c>
      <c r="E17" s="7" t="inlineStr">
        <is>
          <t>N/A</t>
        </is>
      </c>
      <c r="F17" s="6" t="inlineStr">
        <is>
          <t>—</t>
        </is>
      </c>
      <c r="G17" s="6" t="n">
        <v>0</v>
      </c>
      <c r="H17" s="7" t="inlineStr">
        <is>
          <t>N</t>
        </is>
      </c>
      <c r="I17" s="6" t="inlineStr">
        <is>
          <t>—</t>
        </is>
      </c>
      <c r="J17" s="6" t="inlineStr">
        <is>
          <t>No evidence found anywhere. Likely numbering gap.</t>
        </is>
      </c>
      <c r="K17" s="8" t="inlineStr">
        <is>
          <t>unknown</t>
        </is>
      </c>
    </row>
    <row r="18">
      <c r="A18" s="9" t="inlineStr">
        <is>
          <t>ADR-014</t>
        </is>
      </c>
      <c r="B18" s="10" t="inlineStr">
        <is>
          <t>Shell/Docker Guardrails</t>
        </is>
      </c>
      <c r="C18" s="11" t="inlineStr">
        <is>
          <t>DECIDED
(reconstruction)</t>
        </is>
      </c>
      <c r="D18" s="11" t="inlineStr">
        <is>
          <t>Y</t>
        </is>
      </c>
      <c r="E18" s="11" t="inlineStr">
        <is>
          <t>Y</t>
        </is>
      </c>
      <c r="F18" s="10" t="inlineStr">
        <is>
          <t>2026-08-22</t>
        </is>
      </c>
      <c r="G18" s="10" t="n">
        <v>5</v>
      </c>
      <c r="H18" s="11" t="inlineStr">
        <is>
          <t>N</t>
        </is>
      </c>
      <c r="I18" s="10" t="inlineStr">
        <is>
          <t>—</t>
        </is>
      </c>
      <c r="J18" s="10" t="inlineStr">
        <is>
          <t>RECONSTRUCTED Aug 22 from two independently-maintained sources (changelog + Mac Mini project instructions) that agree word-for-word. No original found anywhere. Full provenance in the document's own Section 6. This is the ADR that scopes Claude Code to ~/openclaw — directly relevant to this session's own dual-clone incident.</t>
        </is>
      </c>
      <c r="K18" s="8" t="inlineStr">
        <is>
          <t>gap</t>
        </is>
      </c>
    </row>
    <row r="19">
      <c r="A19" s="5" t="inlineStr">
        <is>
          <t>ADR-015</t>
        </is>
      </c>
      <c r="B19" s="6" t="inlineStr">
        <is>
          <t>(none recovered)</t>
        </is>
      </c>
      <c r="C19" s="7" t="inlineStr">
        <is>
          <t>Unknown</t>
        </is>
      </c>
      <c r="D19" s="7" t="inlineStr">
        <is>
          <t>N</t>
        </is>
      </c>
      <c r="E19" s="7" t="inlineStr">
        <is>
          <t>N/A</t>
        </is>
      </c>
      <c r="F19" s="6" t="inlineStr">
        <is>
          <t>—</t>
        </is>
      </c>
      <c r="G19" s="6" t="n">
        <v>0</v>
      </c>
      <c r="H19" s="7" t="inlineStr">
        <is>
          <t>N</t>
        </is>
      </c>
      <c r="I19" s="6" t="inlineStr">
        <is>
          <t>—</t>
        </is>
      </c>
      <c r="J19" s="6" t="inlineStr">
        <is>
          <t>No evidence found anywhere. Likely numbering gap.</t>
        </is>
      </c>
      <c r="K19" s="8" t="inlineStr">
        <is>
          <t>unknown</t>
        </is>
      </c>
    </row>
    <row r="20">
      <c r="A20" s="5" t="inlineStr">
        <is>
          <t>ADR-016</t>
        </is>
      </c>
      <c r="B20" s="6" t="inlineStr">
        <is>
          <t>(none recovered)</t>
        </is>
      </c>
      <c r="C20" s="7" t="inlineStr">
        <is>
          <t>Unknown</t>
        </is>
      </c>
      <c r="D20" s="7" t="inlineStr">
        <is>
          <t>N</t>
        </is>
      </c>
      <c r="E20" s="7" t="inlineStr">
        <is>
          <t>N/A</t>
        </is>
      </c>
      <c r="F20" s="6" t="inlineStr">
        <is>
          <t>—</t>
        </is>
      </c>
      <c r="G20" s="6" t="n">
        <v>0</v>
      </c>
      <c r="H20" s="7" t="inlineStr">
        <is>
          <t>N</t>
        </is>
      </c>
      <c r="I20" s="6" t="inlineStr">
        <is>
          <t>—</t>
        </is>
      </c>
      <c r="J20" s="6" t="inlineStr">
        <is>
          <t>NEW (this session): referenced only inside old_skeleton/ (untracked dead code). Excluded from live-governance count.</t>
        </is>
      </c>
      <c r="K20" s="8" t="inlineStr">
        <is>
          <t>unknown</t>
        </is>
      </c>
    </row>
    <row r="21">
      <c r="A21" s="12" t="inlineStr">
        <is>
          <t>ADR-017</t>
        </is>
      </c>
      <c r="B21" s="13" t="inlineStr">
        <is>
          <t>(none recovered)</t>
        </is>
      </c>
      <c r="C21" s="14" t="inlineStr">
        <is>
          <t>Unknown</t>
        </is>
      </c>
      <c r="D21" s="14" t="inlineStr">
        <is>
          <t>N</t>
        </is>
      </c>
      <c r="E21" s="14" t="inlineStr">
        <is>
          <t>N/A</t>
        </is>
      </c>
      <c r="F21" s="13" t="inlineStr">
        <is>
          <t>—</t>
        </is>
      </c>
      <c r="G21" s="13" t="n">
        <v>1</v>
      </c>
      <c r="H21" s="14" t="inlineStr">
        <is>
          <t>N</t>
        </is>
      </c>
      <c r="I21" s="13" t="inlineStr">
        <is>
          <t>—</t>
        </is>
      </c>
      <c r="J21" s="13" t="inlineStr">
        <is>
          <t>COMPLETELY UNRECOVERED. Actively cited in live code (app/persona_router.py) with zero content or title fragment found anywhere, including a direct in-project text search. Highest-priority true gap.</t>
        </is>
      </c>
      <c r="K21" s="8" t="inlineStr">
        <is>
          <t>unrecovered</t>
        </is>
      </c>
    </row>
    <row r="22">
      <c r="A22" s="9" t="inlineStr">
        <is>
          <t>ADR-018</t>
        </is>
      </c>
      <c r="B22" s="11" t="inlineStr">
        <is>
          <t>Irreversibility Scoring (partial — substantive)</t>
        </is>
      </c>
      <c r="C22" s="11" t="inlineStr">
        <is>
          <t>Unknown</t>
        </is>
      </c>
      <c r="D22" s="11" t="inlineStr">
        <is>
          <t>N</t>
        </is>
      </c>
      <c r="E22" s="11" t="inlineStr">
        <is>
          <t>N/A</t>
        </is>
      </c>
      <c r="F22" s="10" t="inlineStr">
        <is>
          <t>—</t>
        </is>
      </c>
      <c r="G22" s="10" t="n">
        <v>1</v>
      </c>
      <c r="H22" s="11" t="inlineStr">
        <is>
          <t>N</t>
        </is>
      </c>
      <c r="I22" s="10" t="inlineStr">
        <is>
          <t>—</t>
        </is>
      </c>
      <c r="J22" s="10" t="inlineStr">
        <is>
          <t>NEW FINDING (this session) — not in last night's 12-number gap list. Cited twice in schema.sql for an irreversibility_score column. Was not previously known to be a gap; needs its own investigation. UPDATE (Section 6 item 3 investigation): real substance found in tool_registry_seed.sql — a 0-100 irreversibility_score scale used in both tool_registry (per-tool baseline) and agent_actions (per-action realized score). Calibration points found: 0=read-only (llm_query, file_read, pg_read, etc.), 5=sandboxed/namespace-isolated writes (file_write_staging, chromadb_ingest), 10=sandboxed code execution (code_run_python), 15=DB INSERT/UPDATE only, no DELETE/DDL (pg_write), 25=shell execution (shell_exec) — which also always requires Telegram approval regardless of score, per its own description. Category upgraded from unrecovered to gap (partial).</t>
        </is>
      </c>
      <c r="K22" s="8" t="inlineStr">
        <is>
          <t>gap</t>
        </is>
      </c>
    </row>
    <row r="23">
      <c r="A23" s="9" t="inlineStr">
        <is>
          <t>ADR-019</t>
        </is>
      </c>
      <c r="B23" s="10" t="inlineStr">
        <is>
          <t>Backup Strategy / Configuration (partial)</t>
        </is>
      </c>
      <c r="C23" s="11" t="inlineStr">
        <is>
          <t>Unknown</t>
        </is>
      </c>
      <c r="D23" s="11" t="inlineStr">
        <is>
          <t>Y (STUB)</t>
        </is>
      </c>
      <c r="E23" s="11" t="inlineStr">
        <is>
          <t>Y</t>
        </is>
      </c>
      <c r="F23" s="11" t="inlineStr">
        <is>
          <t>2026-08-23</t>
        </is>
      </c>
      <c r="G23" s="10" t="n">
        <v>1</v>
      </c>
      <c r="H23" s="11" t="inlineStr">
        <is>
          <t>N</t>
        </is>
      </c>
      <c r="I23" s="10" t="inlineStr">
        <is>
          <t>—</t>
        </is>
      </c>
      <c r="J23" s="10" t="inlineStr">
        <is>
          <t>Partial substance recovered via cross-reference: nightly pg_dump, 30-day retention, real-time failure alert. Not a full document. STUB BUILT 2026-08-23 per operator direction (ADR_019.docx) — clearly marked as a stub, not an original, with explicit "What Is Known" / "What Is NOT Known" / "Sources" sections citing exact file and line for every claim.</t>
        </is>
      </c>
      <c r="K23" s="8" t="inlineStr">
        <is>
          <t>gap</t>
        </is>
      </c>
    </row>
    <row r="24">
      <c r="A24" s="9" t="inlineStr">
        <is>
          <t>ADR-020</t>
        </is>
      </c>
      <c r="B24" s="10" t="inlineStr">
        <is>
          <t>Account Structure (title only)</t>
        </is>
      </c>
      <c r="C24" s="11" t="inlineStr">
        <is>
          <t>Unknown</t>
        </is>
      </c>
      <c r="D24" s="11" t="inlineStr">
        <is>
          <t>Y (STUB)</t>
        </is>
      </c>
      <c r="E24" s="11" t="inlineStr">
        <is>
          <t>Y</t>
        </is>
      </c>
      <c r="F24" s="11" t="inlineStr">
        <is>
          <t>2026-08-23</t>
        </is>
      </c>
      <c r="G24" s="10" t="n">
        <v>1</v>
      </c>
      <c r="H24" s="11" t="inlineStr">
        <is>
          <t>N</t>
        </is>
      </c>
      <c r="I24" s="10" t="inlineStr">
        <is>
          <t>—</t>
        </is>
      </c>
      <c r="J24" s="10" t="inlineStr">
        <is>
          <t>Title-only fragment via cross-reference. STUB BUILT 2026-08-23 per operator direction (ADR_020.docx) — clearly marked as a stub, not an original, with explicit "What Is Known" / "What Is NOT Known" / "Sources" sections citing exact file and line for every claim.</t>
        </is>
      </c>
      <c r="K24" s="8" t="inlineStr">
        <is>
          <t>gap</t>
        </is>
      </c>
    </row>
    <row r="25">
      <c r="A25" s="9" t="inlineStr">
        <is>
          <t>ADR-021</t>
        </is>
      </c>
      <c r="B25" s="10" t="inlineStr">
        <is>
          <t>"LayerModel" / model tier routing (partial)</t>
        </is>
      </c>
      <c r="C25" s="11" t="inlineStr">
        <is>
          <t>Unknown</t>
        </is>
      </c>
      <c r="D25" s="11" t="inlineStr">
        <is>
          <t>Y (STUB)</t>
        </is>
      </c>
      <c r="E25" s="11" t="inlineStr">
        <is>
          <t>Y</t>
        </is>
      </c>
      <c r="F25" s="11" t="inlineStr">
        <is>
          <t>2026-08-23</t>
        </is>
      </c>
      <c r="G25" s="10" t="n">
        <v>3</v>
      </c>
      <c r="H25" s="11" t="inlineStr">
        <is>
          <t>N</t>
        </is>
      </c>
      <c r="I25" s="10" t="inlineStr">
        <is>
          <t>—</t>
        </is>
      </c>
      <c r="J25" s="10" t="inlineStr">
        <is>
          <t>Partial substance: confidence thresholds 0.85 (Tier1→2), 0.90 (Tier2→3). Actively used in app/llm.py, schema.sql, tool_registry_seed.sql. STUB BUILT 2026-08-23 per operator direction (ADR_021.docx) — clearly marked as a stub, not an original, with explicit "What Is Known" / "What Is NOT Known" / "Sources" sections citing exact file and line for every claim.</t>
        </is>
      </c>
      <c r="K25" s="8" t="inlineStr">
        <is>
          <t>gap</t>
        </is>
      </c>
    </row>
    <row r="26">
      <c r="A26" s="12" t="inlineStr">
        <is>
          <t>ADR-022</t>
        </is>
      </c>
      <c r="B26" s="13" t="inlineStr">
        <is>
          <t>(none recovered)</t>
        </is>
      </c>
      <c r="C26" s="14" t="inlineStr">
        <is>
          <t>Unknown</t>
        </is>
      </c>
      <c r="D26" s="14" t="inlineStr">
        <is>
          <t>N</t>
        </is>
      </c>
      <c r="E26" s="14" t="inlineStr">
        <is>
          <t>N/A</t>
        </is>
      </c>
      <c r="F26" s="13" t="inlineStr">
        <is>
          <t>—</t>
        </is>
      </c>
      <c r="G26" s="13" t="n">
        <v>3</v>
      </c>
      <c r="H26" s="14" t="inlineStr">
        <is>
          <t>N</t>
        </is>
      </c>
      <c r="I26" s="13" t="inlineStr">
        <is>
          <t>—</t>
        </is>
      </c>
      <c r="J26" s="13" t="inlineStr">
        <is>
          <t>COMPLETELY UNRECOVERED. Actively cited in schema.sql and tool_registry_seed.sql with zero content found anywhere, including a direct in-project text search. UPDATE: one concrete fragment found (not full recovery) — tool_registry_seed.sql ties ADR-022 to output-schema validation ("output_schema populated when ADR-022 validation wired") and agent_actions.prompt_injection_flag ("ADR-022 injection detection"). Appears distinct from ADR-027 (Interceptor pattern scanner) — possibly the broader validation/injection-detection policy ADR-027 implements. Still far short of full recovery; title remains unknown.</t>
        </is>
      </c>
      <c r="K26" s="8" t="inlineStr">
        <is>
          <t>unrecovered</t>
        </is>
      </c>
    </row>
    <row r="27">
      <c r="A27" s="9" t="inlineStr">
        <is>
          <t>ADR-023</t>
        </is>
      </c>
      <c r="B27" s="10" t="inlineStr">
        <is>
          <t>Encryption Posture (title only)</t>
        </is>
      </c>
      <c r="C27" s="11" t="inlineStr">
        <is>
          <t>Unknown</t>
        </is>
      </c>
      <c r="D27" s="11" t="inlineStr">
        <is>
          <t>Y (STUB)</t>
        </is>
      </c>
      <c r="E27" s="11" t="inlineStr">
        <is>
          <t>Y</t>
        </is>
      </c>
      <c r="F27" s="11" t="inlineStr">
        <is>
          <t>2026-08-23</t>
        </is>
      </c>
      <c r="G27" s="10" t="n">
        <v>0</v>
      </c>
      <c r="H27" s="11" t="inlineStr">
        <is>
          <t>N</t>
        </is>
      </c>
      <c r="I27" s="10" t="inlineStr">
        <is>
          <t>—</t>
        </is>
      </c>
      <c r="J27" s="10" t="inlineStr">
        <is>
          <t>Title-only fragment, recovered from another ADR's own text (not from a live code citation). STUB BUILT 2026-08-23 per operator direction (ADR_023.docx) — clearly marked as a stub, not an original, with explicit "What Is Known" / "What Is NOT Known" / "Sources" sections citing exact file and line for every claim.</t>
        </is>
      </c>
      <c r="K27" s="8" t="inlineStr">
        <is>
          <t>gap</t>
        </is>
      </c>
    </row>
    <row r="28">
      <c r="A28" s="9" t="inlineStr">
        <is>
          <t>ADR-024</t>
        </is>
      </c>
      <c r="B28" s="10" t="inlineStr">
        <is>
          <t>Little Snitch / egress control (partial)</t>
        </is>
      </c>
      <c r="C28" s="11" t="inlineStr">
        <is>
          <t>Unknown</t>
        </is>
      </c>
      <c r="D28" s="11" t="inlineStr">
        <is>
          <t>Y (STUB)</t>
        </is>
      </c>
      <c r="E28" s="11" t="inlineStr">
        <is>
          <t>Y</t>
        </is>
      </c>
      <c r="F28" s="11" t="inlineStr">
        <is>
          <t>2026-08-23</t>
        </is>
      </c>
      <c r="G28" s="10" t="n">
        <v>2</v>
      </c>
      <c r="H28" s="11" t="inlineStr">
        <is>
          <t>N</t>
        </is>
      </c>
      <c r="I28" s="10" t="inlineStr">
        <is>
          <t>—</t>
        </is>
      </c>
      <c r="J28" s="10" t="inlineStr">
        <is>
          <t>Partial substance: new permitted domain requires a changelog entry before activation. STUB BUILT 2026-08-23 per operator direction (ADR_024.docx) — clearly marked as a stub, not an original, with explicit "What Is Known" / "What Is NOT Known" / "Sources" sections citing exact file and line for every claim.</t>
        </is>
      </c>
      <c r="K28" s="8" t="inlineStr">
        <is>
          <t>gap</t>
        </is>
      </c>
    </row>
    <row r="29">
      <c r="A29" s="5" t="inlineStr">
        <is>
          <t>ADR-025</t>
        </is>
      </c>
      <c r="B29" s="6" t="inlineStr">
        <is>
          <t>(none recovered)</t>
        </is>
      </c>
      <c r="C29" s="7" t="inlineStr">
        <is>
          <t>Unknown</t>
        </is>
      </c>
      <c r="D29" s="7" t="inlineStr">
        <is>
          <t>N</t>
        </is>
      </c>
      <c r="E29" s="7" t="inlineStr">
        <is>
          <t>N/A</t>
        </is>
      </c>
      <c r="F29" s="6" t="inlineStr">
        <is>
          <t>—</t>
        </is>
      </c>
      <c r="G29" s="6" t="n">
        <v>0</v>
      </c>
      <c r="H29" s="7" t="inlineStr">
        <is>
          <t>N</t>
        </is>
      </c>
      <c r="I29" s="6" t="inlineStr">
        <is>
          <t>—</t>
        </is>
      </c>
      <c r="J29" s="6" t="inlineStr">
        <is>
          <t>No evidence found anywhere. Likely numbering gap.</t>
        </is>
      </c>
      <c r="K29" s="8" t="inlineStr">
        <is>
          <t>unknown</t>
        </is>
      </c>
    </row>
    <row r="30">
      <c r="A30" s="5" t="inlineStr">
        <is>
          <t>ADR-026</t>
        </is>
      </c>
      <c r="B30" s="6" t="inlineStr">
        <is>
          <t>(none recovered)</t>
        </is>
      </c>
      <c r="C30" s="7" t="inlineStr">
        <is>
          <t>Unknown</t>
        </is>
      </c>
      <c r="D30" s="7" t="inlineStr">
        <is>
          <t>N</t>
        </is>
      </c>
      <c r="E30" s="7" t="inlineStr">
        <is>
          <t>N/A</t>
        </is>
      </c>
      <c r="F30" s="6" t="inlineStr">
        <is>
          <t>—</t>
        </is>
      </c>
      <c r="G30" s="6" t="n">
        <v>0</v>
      </c>
      <c r="H30" s="7" t="inlineStr">
        <is>
          <t>N</t>
        </is>
      </c>
      <c r="I30" s="6" t="inlineStr">
        <is>
          <t>—</t>
        </is>
      </c>
      <c r="J30" s="6" t="inlineStr">
        <is>
          <t>No evidence found anywhere. Likely numbering gap.</t>
        </is>
      </c>
      <c r="K30" s="8" t="inlineStr">
        <is>
          <t>unknown</t>
        </is>
      </c>
    </row>
    <row r="31">
      <c r="A31" s="9" t="inlineStr">
        <is>
          <t>ADR-027</t>
        </is>
      </c>
      <c r="B31" s="10" t="inlineStr">
        <is>
          <t>(Middleware) Interceptor (partial)</t>
        </is>
      </c>
      <c r="C31" s="11" t="inlineStr">
        <is>
          <t>Unknown</t>
        </is>
      </c>
      <c r="D31" s="11" t="inlineStr">
        <is>
          <t>Y (STUB)</t>
        </is>
      </c>
      <c r="E31" s="11" t="inlineStr">
        <is>
          <t>Y</t>
        </is>
      </c>
      <c r="F31" s="11" t="inlineStr">
        <is>
          <t>2026-08-23</t>
        </is>
      </c>
      <c r="G31" s="10" t="n">
        <v>6</v>
      </c>
      <c r="H31" s="11" t="inlineStr">
        <is>
          <t>N</t>
        </is>
      </c>
      <c r="I31" s="10" t="inlineStr">
        <is>
          <t>—</t>
        </is>
      </c>
      <c r="J31" s="10" t="inlineStr">
        <is>
          <t>Partial substance: pattern scanner, flag-and-continue on suspicious input, post-call security hook. Heavily used in live code (interceptor.py, main.py, config.py) with no formal document. STUB BUILT 2026-08-23 per operator direction (ADR_027.docx) — clearly marked as a stub, not an original, with explicit "What Is Known" / "What Is NOT Known" / "Sources" sections citing exact file and line for every claim.</t>
        </is>
      </c>
      <c r="K31" s="8" t="inlineStr">
        <is>
          <t>gap</t>
        </is>
      </c>
    </row>
    <row r="32">
      <c r="A32" s="9" t="inlineStr">
        <is>
          <t>ADR-028</t>
        </is>
      </c>
      <c r="B32" s="10" t="inlineStr">
        <is>
          <t>Operator Approval (partial)</t>
        </is>
      </c>
      <c r="C32" s="11" t="inlineStr">
        <is>
          <t>Unknown</t>
        </is>
      </c>
      <c r="D32" s="11" t="inlineStr">
        <is>
          <t>Y (STUB)</t>
        </is>
      </c>
      <c r="E32" s="11" t="inlineStr">
        <is>
          <t>Y</t>
        </is>
      </c>
      <c r="F32" s="11" t="inlineStr">
        <is>
          <t>2026-08-23</t>
        </is>
      </c>
      <c r="G32" s="10" t="n">
        <v>4</v>
      </c>
      <c r="H32" s="11" t="inlineStr">
        <is>
          <t>N</t>
        </is>
      </c>
      <c r="I32" s="10" t="inlineStr">
        <is>
          <t>—</t>
        </is>
      </c>
      <c r="J32" s="10" t="inlineStr">
        <is>
          <t>Partial substance: Tier 4 usage routes through a Telegram Y/N gate; quiet hours 7pm–7am. STUB BUILT 2026-08-23 per operator direction (ADR_028.docx) — clearly marked as a stub, not an original, with explicit "What Is Known" / "What Is NOT Known" / "Sources" sections citing exact file and line for every claim.</t>
        </is>
      </c>
      <c r="K32" s="8" t="inlineStr">
        <is>
          <t>gap</t>
        </is>
      </c>
    </row>
    <row r="33">
      <c r="A33" s="9" t="inlineStr">
        <is>
          <t>ADR-029</t>
        </is>
      </c>
      <c r="B33" s="10" t="inlineStr">
        <is>
          <t>Audit Table (partial)</t>
        </is>
      </c>
      <c r="C33" s="11" t="inlineStr">
        <is>
          <t>Unknown</t>
        </is>
      </c>
      <c r="D33" s="11" t="inlineStr">
        <is>
          <t>Y (STUB)</t>
        </is>
      </c>
      <c r="E33" s="11" t="inlineStr">
        <is>
          <t>Y</t>
        </is>
      </c>
      <c r="F33" s="11" t="inlineStr">
        <is>
          <t>2026-08-23</t>
        </is>
      </c>
      <c r="G33" s="10" t="n">
        <v>9</v>
      </c>
      <c r="H33" s="11" t="inlineStr">
        <is>
          <t>N</t>
        </is>
      </c>
      <c r="I33" s="10" t="inlineStr">
        <is>
          <t>—</t>
        </is>
      </c>
      <c r="J33" s="10" t="inlineStr">
        <is>
          <t>Partial substance: agent_actions table, 90-day retention, monthly partition, DROP PARTITION after 90 days. Heavily used. STUB BUILT 2026-08-23 per operator direction (ADR_029.docx) — clearly marked as a stub, not an original, with explicit "What Is Known" / "What Is NOT Known" / "Sources" sections citing exact file and line for every claim.</t>
        </is>
      </c>
      <c r="K33" s="8" t="inlineStr">
        <is>
          <t>gap</t>
        </is>
      </c>
    </row>
    <row r="34">
      <c r="A34" s="9" t="inlineStr">
        <is>
          <t>ADR-030</t>
        </is>
      </c>
      <c r="B34" s="10" t="inlineStr">
        <is>
          <t>(Persona) Network Policy (partial)</t>
        </is>
      </c>
      <c r="C34" s="11" t="inlineStr">
        <is>
          <t>Unknown</t>
        </is>
      </c>
      <c r="D34" s="11" t="inlineStr">
        <is>
          <t>Y (STUB)</t>
        </is>
      </c>
      <c r="E34" s="11" t="inlineStr">
        <is>
          <t>Y</t>
        </is>
      </c>
      <c r="F34" s="11" t="inlineStr">
        <is>
          <t>2026-08-23</t>
        </is>
      </c>
      <c r="G34" s="10" t="n">
        <v>7</v>
      </c>
      <c r="H34" s="11" t="inlineStr">
        <is>
          <t>N</t>
        </is>
      </c>
      <c r="I34" s="10" t="inlineStr">
        <is>
          <t>—</t>
        </is>
      </c>
      <c r="J34" s="10" t="inlineStr">
        <is>
          <t>Partial substance: YAML-based, one file per persona. Heavily used. STUB BUILT 2026-08-23 per operator direction (ADR_030.docx) — clearly marked as a stub, not an original, with explicit "What Is Known" / "What Is NOT Known" / "Sources" sections citing exact file and line for every claim.</t>
        </is>
      </c>
      <c r="K34" s="8" t="inlineStr">
        <is>
          <t>gap</t>
        </is>
      </c>
    </row>
    <row r="35">
      <c r="A35" s="15" t="inlineStr">
        <is>
          <t>ADR-031</t>
        </is>
      </c>
      <c r="B35" s="16" t="inlineStr">
        <is>
          <t>Change Management and Security Review Triggers</t>
        </is>
      </c>
      <c r="C35" s="17" t="inlineStr">
        <is>
          <t>DECIDED
(Apr 18, amended May 17)</t>
        </is>
      </c>
      <c r="D35" s="17" t="inlineStr">
        <is>
          <t>Y</t>
        </is>
      </c>
      <c r="E35" s="17" t="inlineStr">
        <is>
          <t>Y</t>
        </is>
      </c>
      <c r="F35" s="16" t="inlineStr">
        <is>
          <t>2026-05-17</t>
        </is>
      </c>
      <c r="G35" s="16" t="n">
        <v>6</v>
      </c>
      <c r="H35" s="17" t="inlineStr">
        <is>
          <t>Y</t>
        </is>
      </c>
      <c r="I35" s="16" t="inlineStr">
        <is>
          <t>ADR_031.docx (match)</t>
        </is>
      </c>
      <c r="J35" s="16" t="inlineStr">
        <is>
          <t>SYNCED — present and consistent in both ~/openclaw and the Mac Mini project.</t>
        </is>
      </c>
      <c r="K35" s="8" t="inlineStr">
        <is>
          <t>synced</t>
        </is>
      </c>
    </row>
    <row r="36">
      <c r="A36" s="9" t="inlineStr">
        <is>
          <t>ADR-032</t>
        </is>
      </c>
      <c r="B36" s="10" t="inlineStr">
        <is>
          <t>(probable: NIST 800-53 Alignment)</t>
        </is>
      </c>
      <c r="C36" s="11" t="inlineStr">
        <is>
          <t>Unknown</t>
        </is>
      </c>
      <c r="D36" s="11" t="inlineStr">
        <is>
          <t>Y</t>
        </is>
      </c>
      <c r="E36" s="11" t="inlineStr">
        <is>
          <t>Y</t>
        </is>
      </c>
      <c r="F36" s="11" t="inlineStr">
        <is>
          <t>2026-08-23</t>
        </is>
      </c>
      <c r="G36" s="10" t="n">
        <v>0</v>
      </c>
      <c r="H36" s="11" t="inlineStr">
        <is>
          <t>Y</t>
        </is>
      </c>
      <c r="I36" s="10" t="inlineStr">
        <is>
          <t>Mac_Mini_NIST_800_53_Compliance.docx (not ADR-named)</t>
        </is>
      </c>
      <c r="J36" s="10" t="inlineStr">
        <is>
          <t>Numbering gap on disk. Identity strengthened this session: TWO independent local documents (ADR-033 and ADR-036) each cite "ADR-032" as the NIST alignment reference — the NIST doc itself never self-identifies as ADR-032. Recommend promoting to canonical ADR_032.docx once confirmed with the operator. PROMOTED 2026-08-23 per operator confirmation: Mac_Mini_NIST_800_53_Compliance.docx copied to ADR_032.docx with an added identification note (the source document still does not self-identify as ADR-032 in its own original text).</t>
        </is>
      </c>
      <c r="K36" s="8" t="inlineStr">
        <is>
          <t>gap</t>
        </is>
      </c>
    </row>
    <row r="37">
      <c r="A37" s="18" t="inlineStr">
        <is>
          <t>ADR-033</t>
        </is>
      </c>
      <c r="B37" s="19" t="inlineStr">
        <is>
          <t>Operator Dashboard Metrics Framework</t>
        </is>
      </c>
      <c r="C37" s="20" t="inlineStr">
        <is>
          <t>DECIDED
(Mar 29, 2026)</t>
        </is>
      </c>
      <c r="D37" s="20" t="inlineStr">
        <is>
          <t>Y</t>
        </is>
      </c>
      <c r="E37" s="20" t="inlineStr">
        <is>
          <t>N — BROKEN</t>
        </is>
      </c>
      <c r="F37" s="19" t="inlineStr">
        <is>
          <t>2026-07-03</t>
        </is>
      </c>
      <c r="G37" s="19" t="n">
        <v>2</v>
      </c>
      <c r="H37" s="20" t="inlineStr">
        <is>
          <t>Y</t>
        </is>
      </c>
      <c r="I37" s="19" t="inlineStr">
        <is>
          <t>ADR_033_Session10_3.docx (NAME DIFFERS)</t>
        </is>
      </c>
      <c r="J37" s="19" t="inlineStr">
        <is>
          <t>File is plain text saved with a .docx extension — not valid OOXML. Mac Mini KB copy has a different filename ("Session10_3") — possible version drift; content diff not yet done.</t>
        </is>
      </c>
      <c r="K37" s="8" t="inlineStr">
        <is>
          <t>broken</t>
        </is>
      </c>
    </row>
    <row r="38">
      <c r="A38" s="18" t="inlineStr">
        <is>
          <t>ADR-034</t>
        </is>
      </c>
      <c r="B38" s="19" t="inlineStr">
        <is>
          <t>Hardware Telemetry Collector</t>
        </is>
      </c>
      <c r="C38" s="20" t="inlineStr">
        <is>
          <t>DECIDED
(Mar 29, 2026)</t>
        </is>
      </c>
      <c r="D38" s="20" t="inlineStr">
        <is>
          <t>Y</t>
        </is>
      </c>
      <c r="E38" s="20" t="inlineStr">
        <is>
          <t>N — BROKEN</t>
        </is>
      </c>
      <c r="F38" s="19" t="inlineStr">
        <is>
          <t>2026-07-03</t>
        </is>
      </c>
      <c r="G38" s="19" t="n">
        <v>6</v>
      </c>
      <c r="H38" s="20" t="inlineStr">
        <is>
          <t>Y</t>
        </is>
      </c>
      <c r="I38" s="19" t="inlineStr">
        <is>
          <t>ADR_034_Hardware_Telemetry_Collector.docx</t>
        </is>
      </c>
      <c r="J38" s="19" t="inlineStr">
        <is>
          <t>File is plain text saved with a .docx extension — not valid OOXML.</t>
        </is>
      </c>
      <c r="K38" s="8" t="inlineStr">
        <is>
          <t>broken</t>
        </is>
      </c>
    </row>
    <row r="39">
      <c r="A39" s="18" t="inlineStr">
        <is>
          <t>ADR-035</t>
        </is>
      </c>
      <c r="B39" s="19" t="inlineStr">
        <is>
          <t>Agent Runtime Plumbing: Token Budget, Tool Registry, Session Trust, Workflow State</t>
        </is>
      </c>
      <c r="C39" s="20" t="inlineStr">
        <is>
          <t>DECIDED
(Apr 3, 2026)</t>
        </is>
      </c>
      <c r="D39" s="20" t="inlineStr">
        <is>
          <t>Y</t>
        </is>
      </c>
      <c r="E39" s="20" t="inlineStr">
        <is>
          <t>N — BROKEN</t>
        </is>
      </c>
      <c r="F39" s="19" t="inlineStr">
        <is>
          <t>2026-07-03</t>
        </is>
      </c>
      <c r="G39" s="19" t="n">
        <v>15</v>
      </c>
      <c r="H39" s="20" t="inlineStr">
        <is>
          <t>Y</t>
        </is>
      </c>
      <c r="I39" s="19" t="inlineStr">
        <is>
          <t>ADR 035.docx</t>
        </is>
      </c>
      <c r="J39" s="19" t="inlineStr">
        <is>
          <t>File is plain text saved with a .docx extension — not valid OOXML. Highest live-code usage of any broken file (15 refs) — top priority to fix.</t>
        </is>
      </c>
      <c r="K39" s="8" t="inlineStr">
        <is>
          <t>broken</t>
        </is>
      </c>
    </row>
    <row r="40">
      <c r="A40" s="18" t="inlineStr">
        <is>
          <t>ADR-036</t>
        </is>
      </c>
      <c r="B40" s="19" t="inlineStr">
        <is>
          <t>GPU VRAM Allocation Policy</t>
        </is>
      </c>
      <c r="C40" s="20" t="inlineStr">
        <is>
          <t>DECIDED
(Apr 4, 2026)</t>
        </is>
      </c>
      <c r="D40" s="20" t="inlineStr">
        <is>
          <t>Y</t>
        </is>
      </c>
      <c r="E40" s="20" t="inlineStr">
        <is>
          <t>N — BROKEN</t>
        </is>
      </c>
      <c r="F40" s="19" t="inlineStr">
        <is>
          <t>2026-07-03</t>
        </is>
      </c>
      <c r="G40" s="19" t="n">
        <v>0</v>
      </c>
      <c r="H40" s="20" t="inlineStr">
        <is>
          <t>Y</t>
        </is>
      </c>
      <c r="I40" s="19" t="inlineStr">
        <is>
          <t>ADR_036.docx</t>
        </is>
      </c>
      <c r="J40" s="19" t="inlineStr">
        <is>
          <t>Real, decided policy — not an orphan, just never cross-referenced by the exact string "ADR-036" in code/changelog. File is plain text saved with a .docx extension.</t>
        </is>
      </c>
      <c r="K40" s="8" t="inlineStr">
        <is>
          <t>broken</t>
        </is>
      </c>
    </row>
    <row r="41">
      <c r="A41" s="18" t="inlineStr">
        <is>
          <t>ADR-037</t>
        </is>
      </c>
      <c r="B41" s="19" t="inlineStr">
        <is>
          <t>Session Transcript &amp; Heartbeat Monitoring Framework</t>
        </is>
      </c>
      <c r="C41" s="20" t="inlineStr">
        <is>
          <t>DECIDED
(Mar 15, 2026)</t>
        </is>
      </c>
      <c r="D41" s="20" t="inlineStr">
        <is>
          <t>Y</t>
        </is>
      </c>
      <c r="E41" s="20" t="inlineStr">
        <is>
          <t>N — BROKEN</t>
        </is>
      </c>
      <c r="F41" s="19" t="inlineStr">
        <is>
          <t>2026-07-03</t>
        </is>
      </c>
      <c r="G41" s="19" t="n">
        <v>7</v>
      </c>
      <c r="H41" s="20" t="inlineStr">
        <is>
          <t>Y</t>
        </is>
      </c>
      <c r="I41" s="19" t="inlineStr">
        <is>
          <t>ADR_037.docx</t>
        </is>
      </c>
      <c r="J41" s="19" t="inlineStr">
        <is>
          <t>File is plain text saved with a .docx extension — not valid OOXML.</t>
        </is>
      </c>
      <c r="K41" s="8" t="inlineStr">
        <is>
          <t>broken</t>
        </is>
      </c>
    </row>
    <row r="42">
      <c r="A42" s="15" t="inlineStr">
        <is>
          <t>ADR-038</t>
        </is>
      </c>
      <c r="B42" s="16" t="inlineStr">
        <is>
          <t>Security Event Detection and Alerting</t>
        </is>
      </c>
      <c r="C42" s="17" t="inlineStr">
        <is>
          <t>DECIDED
(Apr 18, 2026)</t>
        </is>
      </c>
      <c r="D42" s="17" t="inlineStr">
        <is>
          <t>Y</t>
        </is>
      </c>
      <c r="E42" s="17" t="inlineStr">
        <is>
          <t>Y</t>
        </is>
      </c>
      <c r="F42" s="16" t="inlineStr">
        <is>
          <t>2026-04-19</t>
        </is>
      </c>
      <c r="G42" s="16" t="n">
        <v>8</v>
      </c>
      <c r="H42" s="17" t="inlineStr">
        <is>
          <t>Y</t>
        </is>
      </c>
      <c r="I42" s="16" t="inlineStr">
        <is>
          <t>ADR_038.docx (match)</t>
        </is>
      </c>
      <c r="J42" s="16" t="inlineStr">
        <is>
          <t>SYNCED.</t>
        </is>
      </c>
      <c r="K42" s="8" t="inlineStr">
        <is>
          <t>synced</t>
        </is>
      </c>
    </row>
    <row r="43">
      <c r="A43" s="15" t="inlineStr">
        <is>
          <t>ADR-039</t>
        </is>
      </c>
      <c r="B43" s="16" t="inlineStr">
        <is>
          <t>Adversarial Review Findings and Remediation Plan</t>
        </is>
      </c>
      <c r="C43" s="17" t="inlineStr">
        <is>
          <t>DECIDED
(drafted Apr 19, amended May 15 &amp; 17)</t>
        </is>
      </c>
      <c r="D43" s="17" t="inlineStr">
        <is>
          <t>Y</t>
        </is>
      </c>
      <c r="E43" s="17" t="inlineStr">
        <is>
          <t>Y</t>
        </is>
      </c>
      <c r="F43" s="16" t="inlineStr">
        <is>
          <t>2026-05-17</t>
        </is>
      </c>
      <c r="G43" s="16" t="n">
        <v>12</v>
      </c>
      <c r="H43" s="17" t="inlineStr">
        <is>
          <t>Y</t>
        </is>
      </c>
      <c r="I43" s="16" t="inlineStr">
        <is>
          <t>ADR_039.docx (match)</t>
        </is>
      </c>
      <c r="J43" s="16" t="inlineStr">
        <is>
          <t>SYNCED. Heaviest-used ADR in the codebase (12 citing files).</t>
        </is>
      </c>
      <c r="K43" s="8" t="inlineStr">
        <is>
          <t>synced</t>
        </is>
      </c>
    </row>
    <row r="44">
      <c r="A44" s="15" t="inlineStr">
        <is>
          <t>ADR-040</t>
        </is>
      </c>
      <c r="B44" s="16" t="inlineStr">
        <is>
          <t>Filesystem Boundary and Sensitive Data Separation Policy</t>
        </is>
      </c>
      <c r="C44" s="17" t="inlineStr">
        <is>
          <t>DECIDED
(Apr 19, 2026)</t>
        </is>
      </c>
      <c r="D44" s="17" t="inlineStr">
        <is>
          <t>Y</t>
        </is>
      </c>
      <c r="E44" s="17" t="inlineStr">
        <is>
          <t>Y</t>
        </is>
      </c>
      <c r="F44" s="16" t="inlineStr">
        <is>
          <t>2026-04-19</t>
        </is>
      </c>
      <c r="G44" s="16" t="n">
        <v>1</v>
      </c>
      <c r="H44" s="17" t="inlineStr">
        <is>
          <t>Y</t>
        </is>
      </c>
      <c r="I44" s="16" t="inlineStr">
        <is>
          <t>ADR_040.docx (match)</t>
        </is>
      </c>
      <c r="J44" s="16" t="inlineStr">
        <is>
          <t>SYNCED.</t>
        </is>
      </c>
      <c r="K44" s="8" t="inlineStr">
        <is>
          <t>synced</t>
        </is>
      </c>
    </row>
    <row r="45">
      <c r="A45" s="15" t="inlineStr">
        <is>
          <t>ADR-041</t>
        </is>
      </c>
      <c r="B45" s="16" t="inlineStr">
        <is>
          <t>Third-Party Memory Injection Evaluation</t>
        </is>
      </c>
      <c r="C45" s="17" t="inlineStr">
        <is>
          <t>OPEN
(drafted May 17, 2026)</t>
        </is>
      </c>
      <c r="D45" s="17" t="inlineStr">
        <is>
          <t>Y</t>
        </is>
      </c>
      <c r="E45" s="17" t="inlineStr">
        <is>
          <t>Y</t>
        </is>
      </c>
      <c r="F45" s="16" t="inlineStr">
        <is>
          <t>2026-05-17</t>
        </is>
      </c>
      <c r="G45" s="16" t="n">
        <v>2</v>
      </c>
      <c r="H45" s="17" t="inlineStr">
        <is>
          <t>Y</t>
        </is>
      </c>
      <c r="I45" s="16" t="inlineStr">
        <is>
          <t>ADR_041.docx (match)</t>
        </is>
      </c>
      <c r="J45" s="16" t="inlineStr">
        <is>
          <t>SYNCED. Trigger conditions: Anthropic response to ticket 215474340039847 OR 2026-05-31, whichever first — the May 31 date has now passed. Status should be re-checked.</t>
        </is>
      </c>
      <c r="K45" s="8" t="inlineStr">
        <is>
          <t>synced</t>
        </is>
      </c>
    </row>
    <row r="46">
      <c r="A46" s="9" t="inlineStr">
        <is>
          <t>ADR-042</t>
        </is>
      </c>
      <c r="B46" s="10" t="inlineStr">
        <is>
          <t>ADR Corpus Reconciliation — "AI Build" Project Knowledge vs. Local Document Store</t>
        </is>
      </c>
      <c r="C46" s="11" t="inlineStr">
        <is>
          <t>OPEN
(drafted Aug 22, 2026)</t>
        </is>
      </c>
      <c r="D46" s="11" t="inlineStr">
        <is>
          <t>Y</t>
        </is>
      </c>
      <c r="E46" s="11" t="inlineStr">
        <is>
          <t>Y</t>
        </is>
      </c>
      <c r="F46" s="10" t="inlineStr">
        <is>
          <t>2026-08-22</t>
        </is>
      </c>
      <c r="G46" s="10" t="n">
        <v>1</v>
      </c>
      <c r="H46" s="11" t="inlineStr">
        <is>
          <t>N</t>
        </is>
      </c>
      <c r="I46" s="10" t="inlineStr">
        <is>
          <t>not yet synced (created after last KB capture)</t>
        </is>
      </c>
      <c r="J46" s="10" t="inlineStr">
        <is>
          <t>TITLE / BODY FACTUALLY INCORRECT: this document's own Problem Statement asserts the missing ADRs were authored in a project named "AI Build." Live verification this session proves AI Build is an unrelated, dormant, pre-prototype SaaS project (last updated March 27, only 3 KB files, no ADR-NNN documents at all). The actual match is almost certainly the "Mac Mini" Claude.ai project. Recommend amending this ADR's title and Problem Statement before the error propagates further.</t>
        </is>
      </c>
      <c r="K46" s="8" t="inlineStr">
        <is>
          <t>gap</t>
        </is>
      </c>
    </row>
    <row r="48">
      <c r="A48" s="21" t="inlineStr">
        <is>
          <t>Legend</t>
        </is>
      </c>
    </row>
    <row r="49">
      <c r="A49" s="22" t="n"/>
      <c r="B49" s="8" t="inlineStr">
        <is>
          <t>Present, valid, and consistent in both ~/openclaw and the Mac Mini project</t>
        </is>
      </c>
    </row>
    <row r="50">
      <c r="A50" s="23" t="n"/>
      <c r="B50" s="8" t="inlineStr">
        <is>
          <t>Document exists but the .docx file is not valid OOXML (plain text with a .docx extension)</t>
        </is>
      </c>
    </row>
    <row r="51">
      <c r="A51" s="24" t="n"/>
      <c r="B51" s="8" t="inlineStr">
        <is>
          <t>Partial recovery only — title and/or substance recovered via cross-reference, not a full document</t>
        </is>
      </c>
    </row>
    <row r="52">
      <c r="A52" s="25" t="n"/>
      <c r="B52" s="8" t="inlineStr">
        <is>
          <t>Actively cited in live code with ZERO content recovered anywhere — highest-priority gap</t>
        </is>
      </c>
    </row>
    <row r="53">
      <c r="A53" s="26" t="n"/>
      <c r="B53" s="8" t="inlineStr">
        <is>
          <t>No document, no code citation, no title fragment — likely a numbering gap or dead-code-only reference</t>
        </is>
      </c>
    </row>
  </sheetData>
  <mergeCells count="7">
    <mergeCell ref="A1:J1"/>
    <mergeCell ref="B51:J51"/>
    <mergeCell ref="B50:J50"/>
    <mergeCell ref="B49:J49"/>
    <mergeCell ref="B53:J53"/>
    <mergeCell ref="A2:J2"/>
    <mergeCell ref="B52:J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55" customWidth="1" min="3" max="3"/>
  </cols>
  <sheetData>
    <row r="1">
      <c r="A1" s="1" t="inlineStr">
        <is>
          <t>Mac Mini Project Knowledge Base — Files With No Local Disk Counterpart</t>
        </is>
      </c>
    </row>
    <row r="2">
      <c r="A2" s="2" t="inlineStr">
        <is>
          <t>Captured 2026-08-22 (47-file KB listing). “No local counterpart” = no file of that name found anywhere in ~/openclaw.</t>
        </is>
      </c>
    </row>
    <row r="4" ht="20" customHeight="1">
      <c r="A4" s="3" t="inlineStr">
        <is>
          <t>Filename (in Mac Mini KB)</t>
        </is>
      </c>
      <c r="B4" s="3" t="inlineStr">
        <is>
          <t>Likely subject</t>
        </is>
      </c>
      <c r="C4" s="3" t="inlineStr">
        <is>
          <t>Notes</t>
        </is>
      </c>
    </row>
    <row r="5">
      <c r="A5" s="27" t="inlineStr">
        <is>
          <t>Mac_Mini_Project_Status_Session9_diagrams.docx</t>
        </is>
      </c>
      <c r="B5" s="27" t="inlineStr">
        <is>
          <t>Project status / architecture diagrams</t>
        </is>
      </c>
      <c r="C5" s="27" t="inlineStr">
        <is>
          <t>Session-numbered status doc; not present on disk under any name.</t>
        </is>
      </c>
    </row>
    <row r="6">
      <c r="A6" s="27" t="inlineStr">
        <is>
          <t>Mac_Mini_Project_Status_Session7_final_1.docx</t>
        </is>
      </c>
      <c r="B6" s="27" t="inlineStr">
        <is>
          <t>Project status / architecture diagrams</t>
        </is>
      </c>
      <c r="C6" s="27" t="inlineStr">
        <is>
          <t>Session-numbered status doc; not present on disk under any name.</t>
        </is>
      </c>
    </row>
    <row r="7">
      <c r="A7" s="27" t="inlineStr">
        <is>
          <t>Dashboard_Metrics_Visual_Reference_Final13.docx</t>
        </is>
      </c>
      <c r="B7" s="27" t="inlineStr">
        <is>
          <t>Operator dashboard visual reference</t>
        </is>
      </c>
      <c r="C7" s="27" t="inlineStr">
        <is>
          <t>Companion to ADR-033 (Dashboard Metrics Framework); not present on disk.</t>
        </is>
      </c>
    </row>
    <row r="8">
      <c r="A8" s="27" t="inlineStr">
        <is>
          <t>Dashboard_Metrics_Framework_Visual_Reference.docx</t>
        </is>
      </c>
      <c r="B8" s="27" t="inlineStr">
        <is>
          <t>Operator dashboard visual reference</t>
        </is>
      </c>
      <c r="C8" s="27" t="inlineStr">
        <is>
          <t>Companion to ADR-033; not present on disk. May be an earlier draft of the file above.</t>
        </is>
      </c>
    </row>
    <row r="9">
      <c r="A9" s="27" t="inlineStr">
        <is>
          <t>IR_Runbook.docx</t>
        </is>
      </c>
      <c r="B9" s="27" t="inlineStr">
        <is>
          <t>Incident response runbook</t>
        </is>
      </c>
      <c r="C9" s="27" t="inlineStr">
        <is>
          <t>Not present on disk under any name — worth checking if this content still reflects current architecture.</t>
        </is>
      </c>
    </row>
    <row r="10">
      <c r="A10" s="27" t="inlineStr">
        <is>
          <t>Mac_Mini_NIST_800_53_Compliance.docx</t>
        </is>
      </c>
      <c r="B10" s="27" t="inlineStr">
        <is>
          <t>Probable ADR-032 (NIST alignment)</t>
        </is>
      </c>
      <c r="C10" s="27" t="inlineStr">
        <is>
          <t>Archived locally in adr_fragments_2026-08-22/ but not promoted to a canonical ADR_032.docx on disk. See ADR Inventory sheet.</t>
        </is>
      </c>
    </row>
    <row r="11">
      <c r="A11" s="27" t="inlineStr">
        <is>
          <t>ADR_033_Session10_3.docx</t>
        </is>
      </c>
      <c r="B11" s="27" t="inlineStr">
        <is>
          <t>Variant of ADR-033</t>
        </is>
      </c>
      <c r="C11" s="27" t="inlineStr">
        <is>
          <t>Local disk has ADR_033.docx (broken format) under a different filename — possible version drift, content diff not yet done.</t>
        </is>
      </c>
    </row>
    <row r="12">
      <c r="A12" s="27" t="inlineStr">
        <is>
          <t>Session_19_Review_2026-04-30.md</t>
        </is>
      </c>
      <c r="B12" s="27" t="inlineStr">
        <is>
          <t>Session review notes</t>
        </is>
      </c>
      <c r="C12" s="27" t="inlineStr">
        <is>
          <t>Not present on disk.</t>
        </is>
      </c>
    </row>
    <row r="13">
      <c r="A13" s="27" t="inlineStr">
        <is>
          <t>unauth_application_steps.md</t>
        </is>
      </c>
      <c r="B13" s="27" t="inlineStr">
        <is>
          <t>Unclear — title suggests an unauthorized-access runbook</t>
        </is>
      </c>
      <c r="C13" s="27" t="inlineStr">
        <is>
          <t>Not present on disk. Worth a quick look given the security-relevant filename.</t>
        </is>
      </c>
    </row>
    <row r="14">
      <c r="A14" s="27" t="inlineStr">
        <is>
          <t>entry_011.md</t>
        </is>
      </c>
      <c r="B14" s="27" t="inlineStr">
        <is>
          <t>Changelog-style entry, unclear numbering relative to changelog.md</t>
        </is>
      </c>
      <c r="C14" s="27" t="inlineStr">
        <is>
          <t>Not present on disk. Numbering scheme relationship to changelog.md unclear.</t>
        </is>
      </c>
    </row>
    <row r="15">
      <c r="A15" s="27" t="inlineStr">
        <is>
          <t>changelog_entry_015.md</t>
        </is>
      </c>
      <c r="B15" s="27" t="inlineStr">
        <is>
          <t>Standalone changelog entry</t>
        </is>
      </c>
      <c r="C15" s="27" t="inlineStr">
        <is>
          <t>Not present on disk as a separate file — changelog.md may already have this content inline.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1" t="inlineStr">
        <is>
          <t>ADR Corpus Reconciliation — Summary Counts</t>
        </is>
      </c>
    </row>
    <row r="3">
      <c r="A3" s="4" t="inlineStr">
        <is>
          <t>Category</t>
        </is>
      </c>
      <c r="B3" s="4" t="inlineStr">
        <is>
          <t>Count (of ADR-001 through ADR-042)</t>
        </is>
      </c>
    </row>
    <row r="4">
      <c r="A4" s="28" t="inlineStr">
        <is>
          <t>Synced — present &amp; consistent in both sources</t>
        </is>
      </c>
      <c r="B4" s="29">
        <f>COUNTIF('ADR Inventory'!$K$5:$K$46,"synced")</f>
        <v/>
      </c>
    </row>
    <row r="5">
      <c r="A5" s="30" t="inlineStr">
        <is>
          <t>Broken file format (plain text as .docx)</t>
        </is>
      </c>
      <c r="B5" s="29">
        <f>COUNTIF('ADR Inventory'!$K$5:$K$46,"broken")</f>
        <v/>
      </c>
    </row>
    <row r="6">
      <c r="A6" s="31" t="inlineStr">
        <is>
          <t>Partial recovery (title and/or substance only)</t>
        </is>
      </c>
      <c r="B6" s="29">
        <f>COUNTIF('ADR Inventory'!$K$5:$K$46,"gap")</f>
        <v/>
      </c>
    </row>
    <row r="7">
      <c r="A7" s="32" t="inlineStr">
        <is>
          <t>Completely unrecovered (cited in live code, zero content)</t>
        </is>
      </c>
      <c r="B7" s="29">
        <f>COUNTIF('ADR Inventory'!$K$5:$K$46,"unrecovered")</f>
        <v/>
      </c>
    </row>
    <row r="8">
      <c r="A8" s="33" t="inlineStr">
        <is>
          <t>No evidence at all (likely numbering gaps)</t>
        </is>
      </c>
      <c r="B8" s="29">
        <f>COUNTIF('ADR Inventory'!$K$5:$K$46,"unknown")</f>
        <v/>
      </c>
    </row>
    <row r="10">
      <c r="A10" s="21" t="inlineStr">
        <is>
          <t>Total ADR numbers (001–042)</t>
        </is>
      </c>
      <c r="B10" s="21">
        <f>COUNTA('ADR Inventory'!$K$5:$K$46)</f>
        <v/>
      </c>
    </row>
    <row r="12">
      <c r="A12" s="21" t="inlineStr">
        <is>
          <t>Key findings this session</t>
        </is>
      </c>
    </row>
    <row r="13" ht="30" customHeight="1">
      <c r="A13" s="34" t="inlineStr">
        <is>
          <t>1. FIVE ADR files (033, 034, 035, 036, 037) are broken — plain text saved with a .docx extension, not valid OOXML. Last night only caught ADR-036.</t>
        </is>
      </c>
    </row>
    <row r="14" ht="30" customHeight="1">
      <c r="A14" s="34" t="inlineStr">
        <is>
          <t>2. ADR-042's own Problem Statement misattributes the missing ADRs to a project called "AI Build." Live verification proves AI Build is unrelated. The Mac Mini project is the actual match.</t>
        </is>
      </c>
    </row>
    <row r="15" ht="30" customHeight="1">
      <c r="A15" s="34" t="inlineStr">
        <is>
          <t>3. Two NEW gaps found that were not in ADR-042's original 12-number list: ADR-018 (schema.sql, irreversibility_score) and confirmation that ADR-017/022 remain the two highest-priority true gaps.</t>
        </is>
      </c>
    </row>
    <row r="16" ht="30" customHeight="1">
      <c r="A16" s="34" t="inlineStr">
        <is>
          <t>4. ADR-032's probable identity (the NIST 800-53 alignment document) is now corroborated by two independent local documents (ADR-033 and ADR-036), each citing "ADR-032" by name.</t>
        </is>
      </c>
    </row>
    <row r="17" ht="30" customHeight="1">
      <c r="A17" s="34" t="inlineStr">
        <is>
          <t>5. old_skeleton/ is untracked dead code referencing ADR-011, 012, and 016 — excluded from live counts, already flagged for cleanup in CURRENT_STATE.md.</t>
        </is>
      </c>
    </row>
    <row r="18" ht="30" customHeight="1">
      <c r="A18" s="34" t="inlineStr">
        <is>
          <t>6. ADR-041 (OPEN) has a trigger condition — 2026-05-31 — that has already passed. Status should be re-checked.</t>
        </is>
      </c>
    </row>
  </sheetData>
  <mergeCells count="7">
    <mergeCell ref="A16:B16"/>
    <mergeCell ref="A15:B15"/>
    <mergeCell ref="A13:B13"/>
    <mergeCell ref="A14:B14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2026-08-23T11:57:36Z</dcterms:created>
  <dcterms:modified xmlns:dcterms="http://purl.org/dc/terms/" xmlns:xsi="http://www.w3.org/2001/XMLSchema-instance" xsi:type="dcterms:W3CDTF">2026-08-23T12:15:19Z</dcterms:modified>
</cp:coreProperties>
</file>